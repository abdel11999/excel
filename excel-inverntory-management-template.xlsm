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do4.DESKTOP-Q0155UR\Desktop\New folder\excel\"/>
    </mc:Choice>
  </mc:AlternateContent>
  <xr:revisionPtr revIDLastSave="0" documentId="13_ncr:1_{13C13623-9223-419E-BEF0-6463E32CDFE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91029"/>
  <pivotCaches>
    <pivotCache cacheId="28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5" l="1"/>
  <c r="B7" i="7"/>
  <c r="H11" i="4"/>
  <c r="I11" i="4"/>
  <c r="H3" i="4"/>
  <c r="H4" i="4"/>
  <c r="H5" i="4"/>
  <c r="H6" i="4"/>
  <c r="H7" i="4"/>
  <c r="H8" i="4"/>
  <c r="B10" i="7" s="1"/>
  <c r="H9" i="4"/>
  <c r="H10" i="4"/>
  <c r="H2" i="4"/>
  <c r="B1" i="7" s="1"/>
  <c r="B11" i="7"/>
  <c r="B9" i="7"/>
  <c r="B8" i="7"/>
  <c r="B13" i="7" s="1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A16" i="7" l="1"/>
  <c r="B12" i="7"/>
  <c r="B2" i="7"/>
  <c r="B6" i="7"/>
  <c r="A15" i="7"/>
  <c r="A17" i="7"/>
  <c r="B5" i="7"/>
</calcChain>
</file>

<file path=xl/sharedStrings.xml><?xml version="1.0" encoding="utf-8"?>
<sst xmlns="http://schemas.openxmlformats.org/spreadsheetml/2006/main" count="209" uniqueCount="56">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</sst>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0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2" fontId="1" fillId="0" borderId="0" xfId="0" applyNumberFormat="1" applyFont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7" fillId="2" borderId="5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[excel-inverntory-management-template.xlsm]Help!PivotTable1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Help!$F$2:$F$6</c:f>
              <c:strCache>
                <c:ptCount val="4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</c:strCache>
            </c:strRef>
          </c:cat>
          <c:val>
            <c:numRef>
              <c:f>Help!$G$2:$G$6</c:f>
              <c:numCache>
                <c:formatCode>General</c:formatCode>
                <c:ptCount val="4"/>
                <c:pt idx="0">
                  <c:v>165</c:v>
                </c:pt>
                <c:pt idx="1">
                  <c:v>330</c:v>
                </c:pt>
                <c:pt idx="2">
                  <c:v>100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" Type="http://schemas.openxmlformats.org/officeDocument/2006/relationships/hyperlink" Target="https://gumroad.com/l/PlHCF" TargetMode="External"/><Relationship Id="rId21" Type="http://schemas.openxmlformats.org/officeDocument/2006/relationships/hyperlink" Target="mailto:?&amp;body=Hey,%0a%0aExcel%20Inventory%20Management%20Template.%0a%0aCheck%20This%20Out%20From%20Here.%20%0ahttp://excelchamps.com/blog/2016/08/excel-inventory-management-template-with-user-forms-vba" TargetMode="External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17" Type="http://schemas.openxmlformats.org/officeDocument/2006/relationships/image" Target="../media/image9.png"/><Relationship Id="rId25" Type="http://schemas.openxmlformats.org/officeDocument/2006/relationships/hyperlink" Target="https://pinterest.com/pin/create/button/?url=http://excelchamps.com/blog/2016/08/excel-inventory-management-template-with-user-forms-vba&amp;media=&amp;description=" TargetMode="External"/><Relationship Id="rId2" Type="http://schemas.openxmlformats.org/officeDocument/2006/relationships/chart" Target="../charts/chart2.xml"/><Relationship Id="rId16" Type="http://schemas.openxmlformats.org/officeDocument/2006/relationships/hyperlink" Target="http://excelchamps.com/" TargetMode="External"/><Relationship Id="rId20" Type="http://schemas.openxmlformats.org/officeDocument/2006/relationships/image" Target="../media/image11.png"/><Relationship Id="rId29" Type="http://schemas.openxmlformats.org/officeDocument/2006/relationships/hyperlink" Target="https://www.facebook.com/sharer/sharer.php?u=http://excelchamps.com/blog/2016/08/excel-inventory-management-template-with-user-forms-vba" TargetMode="Externa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hyperlink" Target="https://twitter.com/ExcelChamps" TargetMode="External"/><Relationship Id="rId24" Type="http://schemas.openxmlformats.org/officeDocument/2006/relationships/image" Target="../media/image13.png"/><Relationship Id="rId5" Type="http://schemas.openxmlformats.org/officeDocument/2006/relationships/image" Target="../media/image1.png"/><Relationship Id="rId15" Type="http://schemas.openxmlformats.org/officeDocument/2006/relationships/image" Target="../media/image8.png"/><Relationship Id="rId23" Type="http://schemas.openxmlformats.org/officeDocument/2006/relationships/hyperlink" Target="https://www.linkedin.com/shareArticle?mini=true&amp;url=http://excelchamps.com/blog/2016/08/excel-inventory-management-template-with-user-forms-vba&amp;title=&amp;summary=&amp;source=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5.png"/><Relationship Id="rId19" Type="http://schemas.openxmlformats.org/officeDocument/2006/relationships/hyperlink" Target="https://twitter.com/home?status=http://excelchamps.com/blog/2016/08/excel-inventory-management-template-with-user-forms-vba" TargetMode="External"/><Relationship Id="rId4" Type="http://schemas.openxmlformats.org/officeDocument/2006/relationships/hyperlink" Target="https://goo.gl/qeulo7" TargetMode="External"/><Relationship Id="rId9" Type="http://schemas.openxmlformats.org/officeDocument/2006/relationships/hyperlink" Target="https://www.facebook.com/ExcelChamps" TargetMode="External"/><Relationship Id="rId14" Type="http://schemas.openxmlformats.org/officeDocument/2006/relationships/hyperlink" Target="https://www.youtube.com/c/Excelchamps" TargetMode="External"/><Relationship Id="rId22" Type="http://schemas.openxmlformats.org/officeDocument/2006/relationships/image" Target="../media/image12.png"/><Relationship Id="rId27" Type="http://schemas.openxmlformats.org/officeDocument/2006/relationships/hyperlink" Target="https://plus.google.com/share?url=http://excelchamps.com/blog/2016/08/excel-inventory-management-template-with-user-forms-vba" TargetMode="External"/><Relationship Id="rId30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Current Stock is 150 Unit(s). And, Stock Value is $700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Galaxy Note 7's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$-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625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>
    <xdr:from>
      <xdr:col>13</xdr:col>
      <xdr:colOff>552451</xdr:colOff>
      <xdr:row>0</xdr:row>
      <xdr:rowOff>66675</xdr:rowOff>
    </xdr:from>
    <xdr:to>
      <xdr:col>17</xdr:col>
      <xdr:colOff>209551</xdr:colOff>
      <xdr:row>2</xdr:row>
      <xdr:rowOff>133350</xdr:rowOff>
    </xdr:to>
    <xdr:sp macro="" textlink="">
      <xdr:nvSpPr>
        <xdr:cNvPr id="47" name="Rectangle: Rounded Corners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52B471-80D5-4C90-8B93-B324B8A5E195}"/>
            </a:ext>
          </a:extLst>
        </xdr:cNvPr>
        <xdr:cNvSpPr/>
      </xdr:nvSpPr>
      <xdr:spPr>
        <a:xfrm>
          <a:off x="9467851" y="66675"/>
          <a:ext cx="2400300" cy="447675"/>
        </a:xfrm>
        <a:prstGeom prst="roundRect">
          <a:avLst>
            <a:gd name="adj" fmla="val 8511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Want More Features?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257175</xdr:colOff>
      <xdr:row>0</xdr:row>
      <xdr:rowOff>0</xdr:rowOff>
    </xdr:from>
    <xdr:to>
      <xdr:col>9</xdr:col>
      <xdr:colOff>352425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4761625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4761625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1" u="sng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a customize Template </a:t>
          </a:r>
          <a:r>
            <a:rPr lang="en-US" sz="1200" b="0" u="sng" baseline="0">
              <a:solidFill>
                <a:srgbClr val="0000EE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you can take a quote for that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66676</xdr:colOff>
      <xdr:row>0</xdr:row>
      <xdr:rowOff>28576</xdr:rowOff>
    </xdr:from>
    <xdr:to>
      <xdr:col>0</xdr:col>
      <xdr:colOff>447676</xdr:colOff>
      <xdr:row>2</xdr:row>
      <xdr:rowOff>28576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2857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47625</xdr:colOff>
      <xdr:row>22</xdr:row>
      <xdr:rowOff>116973</xdr:rowOff>
    </xdr:from>
    <xdr:ext cx="1781175" cy="233205"/>
    <xdr:sp macro="" textlink="">
      <xdr:nvSpPr>
        <xdr:cNvPr id="15" name="PoweredBy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7625" y="4307973"/>
          <a:ext cx="1781175" cy="23320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900" b="0" cap="none" spc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Powered </a:t>
          </a:r>
          <a:r>
            <a:rPr lang="en-US" sz="900" b="0" cap="none" spc="0" baseline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By - ExcelChamps</a:t>
          </a:r>
          <a:endParaRPr lang="en-US" sz="900" b="0" cap="none" spc="0">
            <a:ln w="0">
              <a:noFill/>
            </a:ln>
            <a:solidFill>
              <a:schemeClr val="tx2"/>
            </a:solidFill>
            <a:effectLst/>
            <a:latin typeface="+mj-lt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66675</xdr:colOff>
      <xdr:row>6</xdr:row>
      <xdr:rowOff>9525</xdr:rowOff>
    </xdr:from>
    <xdr:to>
      <xdr:col>1</xdr:col>
      <xdr:colOff>651891</xdr:colOff>
      <xdr:row>8</xdr:row>
      <xdr:rowOff>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152525"/>
          <a:ext cx="1271016" cy="371475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6</xdr:row>
      <xdr:rowOff>9523</xdr:rowOff>
    </xdr:from>
    <xdr:to>
      <xdr:col>3</xdr:col>
      <xdr:colOff>613792</xdr:colOff>
      <xdr:row>8</xdr:row>
      <xdr:rowOff>3427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152523"/>
          <a:ext cx="1271016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8</xdr:row>
      <xdr:rowOff>171450</xdr:rowOff>
    </xdr:from>
    <xdr:to>
      <xdr:col>3</xdr:col>
      <xdr:colOff>523876</xdr:colOff>
      <xdr:row>10</xdr:row>
      <xdr:rowOff>161925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69545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 Sheets</a:t>
          </a:r>
        </a:p>
      </xdr:txBody>
    </xdr:sp>
    <xdr:clientData/>
  </xdr:twoCellAnchor>
  <xdr:twoCellAnchor>
    <xdr:from>
      <xdr:col>0</xdr:col>
      <xdr:colOff>66674</xdr:colOff>
      <xdr:row>10</xdr:row>
      <xdr:rowOff>133349</xdr:rowOff>
    </xdr:from>
    <xdr:to>
      <xdr:col>1</xdr:col>
      <xdr:colOff>647699</xdr:colOff>
      <xdr:row>12</xdr:row>
      <xdr:rowOff>136397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038349"/>
          <a:ext cx="1266825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10</xdr:row>
      <xdr:rowOff>133350</xdr:rowOff>
    </xdr:from>
    <xdr:to>
      <xdr:col>3</xdr:col>
      <xdr:colOff>604266</xdr:colOff>
      <xdr:row>12</xdr:row>
      <xdr:rowOff>136398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038350"/>
          <a:ext cx="1271016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 editAs="oneCell">
    <xdr:from>
      <xdr:col>2</xdr:col>
      <xdr:colOff>314325</xdr:colOff>
      <xdr:row>22</xdr:row>
      <xdr:rowOff>123825</xdr:rowOff>
    </xdr:from>
    <xdr:to>
      <xdr:col>2</xdr:col>
      <xdr:colOff>533781</xdr:colOff>
      <xdr:row>23</xdr:row>
      <xdr:rowOff>152781</xdr:rowOff>
    </xdr:to>
    <xdr:pic>
      <xdr:nvPicPr>
        <xdr:cNvPr id="28" name="Facebook" hidden="1">
          <a:hlinkClick xmlns:r="http://schemas.openxmlformats.org/officeDocument/2006/relationships" r:id="rId9" tooltip="Facebook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561975</xdr:colOff>
      <xdr:row>22</xdr:row>
      <xdr:rowOff>123825</xdr:rowOff>
    </xdr:from>
    <xdr:to>
      <xdr:col>3</xdr:col>
      <xdr:colOff>95631</xdr:colOff>
      <xdr:row>23</xdr:row>
      <xdr:rowOff>152781</xdr:rowOff>
    </xdr:to>
    <xdr:pic>
      <xdr:nvPicPr>
        <xdr:cNvPr id="16" name="Twitter" hidden="1">
          <a:hlinkClick xmlns:r="http://schemas.openxmlformats.org/officeDocument/2006/relationships" r:id="rId11" tooltip="Twitter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57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121425</xdr:colOff>
      <xdr:row>22</xdr:row>
      <xdr:rowOff>121425</xdr:rowOff>
    </xdr:from>
    <xdr:to>
      <xdr:col>3</xdr:col>
      <xdr:colOff>340881</xdr:colOff>
      <xdr:row>23</xdr:row>
      <xdr:rowOff>150381</xdr:rowOff>
    </xdr:to>
    <xdr:pic>
      <xdr:nvPicPr>
        <xdr:cNvPr id="17" name="Google+" hidden="1">
          <a:hlinkClick xmlns:r="http://schemas.openxmlformats.org/officeDocument/2006/relationships" r:id="rId11" tooltip="Google+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825" y="43124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385725</xdr:colOff>
      <xdr:row>22</xdr:row>
      <xdr:rowOff>119025</xdr:rowOff>
    </xdr:from>
    <xdr:to>
      <xdr:col>3</xdr:col>
      <xdr:colOff>605181</xdr:colOff>
      <xdr:row>23</xdr:row>
      <xdr:rowOff>147981</xdr:rowOff>
    </xdr:to>
    <xdr:pic>
      <xdr:nvPicPr>
        <xdr:cNvPr id="18" name="Youtube" hidden="1">
          <a:hlinkClick xmlns:r="http://schemas.openxmlformats.org/officeDocument/2006/relationships" r:id="rId14" tooltip="YouTube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3125" y="43100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22</xdr:row>
      <xdr:rowOff>133350</xdr:rowOff>
    </xdr:from>
    <xdr:to>
      <xdr:col>2</xdr:col>
      <xdr:colOff>286131</xdr:colOff>
      <xdr:row>23</xdr:row>
      <xdr:rowOff>148616</xdr:rowOff>
    </xdr:to>
    <xdr:pic>
      <xdr:nvPicPr>
        <xdr:cNvPr id="19" name="Web" hidden="1">
          <a:hlinkClick xmlns:r="http://schemas.openxmlformats.org/officeDocument/2006/relationships" r:id="rId16" tooltip="Website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8275" y="4324350"/>
          <a:ext cx="219456" cy="205766"/>
        </a:xfrm>
        <a:prstGeom prst="rect">
          <a:avLst/>
        </a:prstGeom>
      </xdr:spPr>
    </xdr:pic>
    <xdr:clientData/>
  </xdr:twoCellAnchor>
  <xdr:twoCellAnchor>
    <xdr:from>
      <xdr:col>0</xdr:col>
      <xdr:colOff>57148</xdr:colOff>
      <xdr:row>3</xdr:row>
      <xdr:rowOff>161924</xdr:rowOff>
    </xdr:from>
    <xdr:to>
      <xdr:col>3</xdr:col>
      <xdr:colOff>609599</xdr:colOff>
      <xdr:row>5</xdr:row>
      <xdr:rowOff>155828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733424"/>
          <a:ext cx="2609851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57150</xdr:colOff>
      <xdr:row>15</xdr:row>
      <xdr:rowOff>142874</xdr:rowOff>
    </xdr:from>
    <xdr:to>
      <xdr:col>3</xdr:col>
      <xdr:colOff>600075</xdr:colOff>
      <xdr:row>17</xdr:row>
      <xdr:rowOff>190499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7150" y="3000374"/>
          <a:ext cx="2600325" cy="428625"/>
        </a:xfrm>
        <a:prstGeom prst="roundRect">
          <a:avLst>
            <a:gd name="adj" fmla="val 50000"/>
          </a:avLst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12</xdr:row>
      <xdr:rowOff>180974</xdr:rowOff>
    </xdr:from>
    <xdr:to>
      <xdr:col>3</xdr:col>
      <xdr:colOff>600076</xdr:colOff>
      <xdr:row>14</xdr:row>
      <xdr:rowOff>174878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466974"/>
          <a:ext cx="2581276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1</xdr:row>
      <xdr:rowOff>180975</xdr:rowOff>
    </xdr:from>
    <xdr:to>
      <xdr:col>3</xdr:col>
      <xdr:colOff>523876</xdr:colOff>
      <xdr:row>3</xdr:row>
      <xdr:rowOff>171450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371475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0</xdr:col>
      <xdr:colOff>9525</xdr:colOff>
      <xdr:row>0</xdr:row>
      <xdr:rowOff>19050</xdr:rowOff>
    </xdr:from>
    <xdr:to>
      <xdr:col>19</xdr:col>
      <xdr:colOff>0</xdr:colOff>
      <xdr:row>24</xdr:row>
      <xdr:rowOff>0</xdr:rowOff>
    </xdr:to>
    <xdr:sp macro="" textlink="">
      <xdr:nvSpPr>
        <xdr:cNvPr id="3" name="WelcomeMa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5" y="19050"/>
          <a:ext cx="12477750" cy="45529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Welcome To Inventory</a:t>
          </a:r>
          <a:r>
            <a:rPr lang="en-US" sz="2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Management Template</a:t>
          </a:r>
        </a:p>
        <a:p>
          <a:pPr algn="ctr"/>
          <a:endParaRPr lang="en-US" sz="10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Powered By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28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ExcelChamps.com</a:t>
          </a:r>
        </a:p>
        <a:p>
          <a:pPr algn="ctr"/>
          <a:r>
            <a:rPr lang="en-US" sz="900" i="1" u="none" baseline="0">
              <a:solidFill>
                <a:schemeClr val="tx1">
                  <a:lumMod val="50000"/>
                  <a:lumOff val="50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Most Amazing Excel Tips On Internet</a:t>
          </a:r>
          <a:endParaRPr lang="en-US" sz="1100" i="1" u="none" baseline="0">
            <a:solidFill>
              <a:schemeClr val="tx1">
                <a:lumMod val="50000"/>
                <a:lumOff val="50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Press Below Buttons To Share This Template With Your Best Buddies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="0" i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Press Continue To Go Ahead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7</xdr:col>
      <xdr:colOff>333375</xdr:colOff>
      <xdr:row>18</xdr:row>
      <xdr:rowOff>152399</xdr:rowOff>
    </xdr:from>
    <xdr:to>
      <xdr:col>10</xdr:col>
      <xdr:colOff>523875</xdr:colOff>
      <xdr:row>22</xdr:row>
      <xdr:rowOff>9524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5133975" y="3581399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7</xdr:col>
      <xdr:colOff>400050</xdr:colOff>
      <xdr:row>14</xdr:row>
      <xdr:rowOff>19050</xdr:rowOff>
    </xdr:from>
    <xdr:to>
      <xdr:col>8</xdr:col>
      <xdr:colOff>80010</xdr:colOff>
      <xdr:row>16</xdr:row>
      <xdr:rowOff>3810</xdr:rowOff>
    </xdr:to>
    <xdr:pic>
      <xdr:nvPicPr>
        <xdr:cNvPr id="54" name="ShareOnTwitter" hidden="1">
          <a:hlinkClick xmlns:r="http://schemas.openxmlformats.org/officeDocument/2006/relationships" r:id="rId19" tooltip="ShareOnTwitter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8605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14</xdr:row>
      <xdr:rowOff>9525</xdr:rowOff>
    </xdr:from>
    <xdr:to>
      <xdr:col>11</xdr:col>
      <xdr:colOff>441960</xdr:colOff>
      <xdr:row>15</xdr:row>
      <xdr:rowOff>184785</xdr:rowOff>
    </xdr:to>
    <xdr:pic>
      <xdr:nvPicPr>
        <xdr:cNvPr id="55" name="MailYourBuddies" hidden="1">
          <a:hlinkClick xmlns:r="http://schemas.openxmlformats.org/officeDocument/2006/relationships" r:id="rId21" tooltip="Mail Your Buddies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9</xdr:col>
      <xdr:colOff>266700</xdr:colOff>
      <xdr:row>14</xdr:row>
      <xdr:rowOff>9525</xdr:rowOff>
    </xdr:from>
    <xdr:to>
      <xdr:col>9</xdr:col>
      <xdr:colOff>632460</xdr:colOff>
      <xdr:row>15</xdr:row>
      <xdr:rowOff>184785</xdr:rowOff>
    </xdr:to>
    <xdr:pic>
      <xdr:nvPicPr>
        <xdr:cNvPr id="56" name="ShareOnLinkedIn" hidden="1">
          <a:hlinkClick xmlns:r="http://schemas.openxmlformats.org/officeDocument/2006/relationships" r:id="rId23" tooltip="Share On LinkedIn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14</xdr:row>
      <xdr:rowOff>9525</xdr:rowOff>
    </xdr:from>
    <xdr:to>
      <xdr:col>9</xdr:col>
      <xdr:colOff>32385</xdr:colOff>
      <xdr:row>15</xdr:row>
      <xdr:rowOff>184785</xdr:rowOff>
    </xdr:to>
    <xdr:pic>
      <xdr:nvPicPr>
        <xdr:cNvPr id="58" name="ShareOnPinterest" hidden="1">
          <a:hlinkClick xmlns:r="http://schemas.openxmlformats.org/officeDocument/2006/relationships" r:id="rId25" tooltip="Share On Pinterest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825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10</xdr:col>
      <xdr:colOff>171450</xdr:colOff>
      <xdr:row>14</xdr:row>
      <xdr:rowOff>9525</xdr:rowOff>
    </xdr:from>
    <xdr:to>
      <xdr:col>10</xdr:col>
      <xdr:colOff>537210</xdr:colOff>
      <xdr:row>15</xdr:row>
      <xdr:rowOff>184785</xdr:rowOff>
    </xdr:to>
    <xdr:pic>
      <xdr:nvPicPr>
        <xdr:cNvPr id="57" name="ShareOnGoogle+" hidden="1">
          <a:hlinkClick xmlns:r="http://schemas.openxmlformats.org/officeDocument/2006/relationships" r:id="rId27" tooltip="Share On Google+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6</xdr:col>
      <xdr:colOff>457200</xdr:colOff>
      <xdr:row>14</xdr:row>
      <xdr:rowOff>28575</xdr:rowOff>
    </xdr:from>
    <xdr:to>
      <xdr:col>7</xdr:col>
      <xdr:colOff>137160</xdr:colOff>
      <xdr:row>16</xdr:row>
      <xdr:rowOff>13335</xdr:rowOff>
    </xdr:to>
    <xdr:pic>
      <xdr:nvPicPr>
        <xdr:cNvPr id="59" name="ShareOnFacebook" hidden="1">
          <a:hlinkClick xmlns:r="http://schemas.openxmlformats.org/officeDocument/2006/relationships" r:id="rId29" tooltip="ShareOnFacebook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2695575"/>
          <a:ext cx="365760" cy="36576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20</xdr:row>
      <xdr:rowOff>95250</xdr:rowOff>
    </xdr:from>
    <xdr:to>
      <xdr:col>3</xdr:col>
      <xdr:colOff>533400</xdr:colOff>
      <xdr:row>22</xdr:row>
      <xdr:rowOff>9525</xdr:rowOff>
    </xdr:to>
    <xdr:sp macro="" textlink="">
      <xdr:nvSpPr>
        <xdr:cNvPr id="61" name="WantMore" hidden="1">
          <a:hlinkClick xmlns:r="http://schemas.openxmlformats.org/officeDocument/2006/relationships" r:id="rId4" tooltip="More Features"/>
          <a:extLst>
            <a:ext uri="{FF2B5EF4-FFF2-40B4-BE49-F238E27FC236}">
              <a16:creationId xmlns:a16="http://schemas.microsoft.com/office/drawing/2014/main" id="{1879A4EE-32D4-4759-B541-095C667C93A8}"/>
            </a:ext>
          </a:extLst>
        </xdr:cNvPr>
        <xdr:cNvSpPr/>
      </xdr:nvSpPr>
      <xdr:spPr>
        <a:xfrm>
          <a:off x="95250" y="3905250"/>
          <a:ext cx="2495550" cy="295275"/>
        </a:xfrm>
        <a:prstGeom prst="roundRect">
          <a:avLst>
            <a:gd name="adj" fmla="val 17742"/>
          </a:avLst>
        </a:prstGeom>
        <a:gradFill>
          <a:gsLst>
            <a:gs pos="0">
              <a:schemeClr val="bg1"/>
            </a:gs>
            <a:gs pos="53000">
              <a:schemeClr val="bg1">
                <a:lumMod val="95000"/>
              </a:schemeClr>
            </a:gs>
            <a:gs pos="100000">
              <a:schemeClr val="bg1">
                <a:lumMod val="91000"/>
              </a:schemeClr>
            </a:gs>
          </a:gsLst>
          <a:lin ang="5400000" scaled="1"/>
        </a:gradFill>
        <a:ln>
          <a:solidFill>
            <a:schemeClr val="tx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2"/>
              </a:solidFill>
            </a:rPr>
            <a:t>Want More Features?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o4" refreshedDate="45350.483455092595" createdVersion="5" refreshedVersion="8" minRefreshableVersion="3" recordCount="10" xr:uid="{00000000-000A-0000-FFFF-FFFF22000000}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5">
        <s v="Home Appliances"/>
        <s v="Mobile Phone"/>
        <s v="Tablet"/>
        <s v="Laptop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5" maxValue="18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s v="P000024"/>
    <s v="Add Wash"/>
    <s v="Washing Machine"/>
    <x v="0"/>
    <n v="350"/>
    <n v="20"/>
    <n v="65"/>
    <n v="0"/>
  </r>
  <r>
    <n v="2"/>
    <s v="P000036"/>
    <s v="4 Door Flex"/>
    <s v="Refrigerator"/>
    <x v="0"/>
    <n v="5599"/>
    <n v="15"/>
    <n v="40"/>
    <n v="0"/>
  </r>
  <r>
    <n v="3"/>
    <s v="P000042"/>
    <s v="Chef Collection"/>
    <s v="Dishwasher"/>
    <x v="0"/>
    <n v="1099"/>
    <n v="10"/>
    <n v="40"/>
    <n v="0"/>
  </r>
  <r>
    <n v="4"/>
    <s v="P000010"/>
    <s v="Grill"/>
    <s v="Microwave"/>
    <x v="0"/>
    <n v="169"/>
    <n v="8"/>
    <n v="15"/>
    <n v="0"/>
  </r>
  <r>
    <n v="5"/>
    <s v="P000020"/>
    <s v="Power Bot"/>
    <s v="Vaccum Cleaner"/>
    <x v="0"/>
    <n v="999.99"/>
    <n v="5"/>
    <n v="5"/>
    <n v="0"/>
  </r>
  <r>
    <n v="6"/>
    <s v="P000018"/>
    <s v="Galaxy S7"/>
    <s v="Smart Phone"/>
    <x v="1"/>
    <n v="849.99"/>
    <n v="120"/>
    <n v="180"/>
    <n v="0"/>
  </r>
  <r>
    <n v="7"/>
    <s v="P000006"/>
    <s v="Galaxy Note 7"/>
    <s v="Smart Phone"/>
    <x v="1"/>
    <n v="699.99"/>
    <n v="80"/>
    <n v="150"/>
    <n v="0"/>
  </r>
  <r>
    <n v="8"/>
    <s v="P000015"/>
    <s v="Galaxy Tab A"/>
    <s v="Smart Phone"/>
    <x v="2"/>
    <n v="279.89999999999998"/>
    <n v="60"/>
    <n v="70"/>
    <n v="0"/>
  </r>
  <r>
    <n v="9"/>
    <s v="P000017"/>
    <s v="Galaxy Tab S2"/>
    <s v="Smart Phone"/>
    <x v="2"/>
    <n v="399.99"/>
    <n v="15"/>
    <n v="30"/>
    <n v="0"/>
  </r>
  <r>
    <n v="10"/>
    <s v="P000022"/>
    <s v="Notebook 9"/>
    <s v="Laptop"/>
    <x v="3"/>
    <n v="1199.99"/>
    <n v="30"/>
    <n v="3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8">
  <location ref="F1:G6" firstHeaderRow="1" firstDataRow="1" firstDataCol="1"/>
  <pivotFields count="9">
    <pivotField showAll="0"/>
    <pivotField showAll="0"/>
    <pivotField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ockInData" displayName="StockInData" ref="A1:H20" totalsRowShown="0" headerRowDxfId="30" dataDxfId="29">
  <tableColumns count="8">
    <tableColumn id="1" xr3:uid="{00000000-0010-0000-0000-000001000000}" name="S No." dataDxfId="28"/>
    <tableColumn id="2" xr3:uid="{00000000-0010-0000-0000-000002000000}" name="Date" dataDxfId="27"/>
    <tableColumn id="3" xr3:uid="{00000000-0010-0000-0000-000003000000}" name="Product ID" dataDxfId="26"/>
    <tableColumn id="4" xr3:uid="{00000000-0010-0000-0000-000004000000}" name="Product Name" dataDxfId="25"/>
    <tableColumn id="5" xr3:uid="{00000000-0010-0000-0000-000005000000}" name="Product Description" dataDxfId="24"/>
    <tableColumn id="6" xr3:uid="{00000000-0010-0000-0000-000006000000}" name="Product Category" dataDxfId="23"/>
    <tableColumn id="7" xr3:uid="{00000000-0010-0000-0000-000007000000}" name="Quantity" dataDxfId="22"/>
    <tableColumn id="8" xr3:uid="{00000000-0010-0000-0000-000008000000}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tockOutData" displayName="StockOutData" ref="A1:H7" totalsRowShown="0" headerRowDxfId="20" dataDxfId="19">
  <tableColumns count="8">
    <tableColumn id="1" xr3:uid="{00000000-0010-0000-0100-000001000000}" name="S No." dataDxfId="18"/>
    <tableColumn id="2" xr3:uid="{00000000-0010-0000-0100-000002000000}" name="Date" dataDxfId="17"/>
    <tableColumn id="3" xr3:uid="{00000000-0010-0000-0100-000003000000}" name="Product ID" dataDxfId="16"/>
    <tableColumn id="4" xr3:uid="{00000000-0010-0000-0100-000004000000}" name="Product Name" dataDxfId="15"/>
    <tableColumn id="5" xr3:uid="{00000000-0010-0000-0100-000005000000}" name="Product Description" dataDxfId="14"/>
    <tableColumn id="6" xr3:uid="{00000000-0010-0000-0100-000006000000}" name="Product Category" dataDxfId="13"/>
    <tableColumn id="7" xr3:uid="{00000000-0010-0000-0100-000007000000}" name="Quantity" dataDxfId="12"/>
    <tableColumn id="8" xr3:uid="{00000000-0010-0000-0100-000008000000}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ductMaster" displayName="ProductMaster" ref="A1:I11" totalsRowShown="0" headerRowDxfId="10" dataDxfId="9">
  <tableColumns count="9">
    <tableColumn id="1" xr3:uid="{00000000-0010-0000-0200-000001000000}" name="S No." dataDxfId="8"/>
    <tableColumn id="2" xr3:uid="{00000000-0010-0000-0200-000002000000}" name="Product ID" dataDxfId="7"/>
    <tableColumn id="3" xr3:uid="{00000000-0010-0000-0200-000003000000}" name="Product Name" dataDxfId="6"/>
    <tableColumn id="4" xr3:uid="{00000000-0010-0000-0200-000004000000}" name="Product Description" dataDxfId="5"/>
    <tableColumn id="5" xr3:uid="{00000000-0010-0000-0200-000005000000}" name="Product Category" dataDxfId="4"/>
    <tableColumn id="8" xr3:uid="{00000000-0010-0000-0200-000008000000}" name="Unit Price" dataDxfId="3"/>
    <tableColumn id="6" xr3:uid="{00000000-0010-0000-0200-000006000000}" name="Reorder Level" dataDxfId="2"/>
    <tableColumn id="7" xr3:uid="{00000000-0010-0000-0200-000007000000}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xr3:uid="{00000000-0010-0000-0200-000009000000}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4"/>
  <sheetViews>
    <sheetView showGridLines="0" showRowColHeaders="0" tabSelected="1" zoomScaleNormal="100" workbookViewId="0"/>
  </sheetViews>
  <sheetFormatPr defaultColWidth="0" defaultRowHeight="14.4" zeroHeight="1" x14ac:dyDescent="0.3"/>
  <cols>
    <col min="1" max="18" width="9" customWidth="1"/>
    <col min="19" max="19" width="1.88671875" customWidth="1"/>
    <col min="20" max="16384" width="9" hidden="1"/>
  </cols>
  <sheetData>
    <row r="1" spans="1:19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</row>
    <row r="2" spans="1:19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</row>
    <row r="3" spans="1:19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</row>
    <row r="4" spans="1:19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</row>
    <row r="5" spans="1:19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</row>
    <row r="6" spans="1:19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</row>
    <row r="7" spans="1:19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</row>
    <row r="8" spans="1:19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</row>
    <row r="9" spans="1:19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</row>
    <row r="10" spans="1:19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</row>
    <row r="11" spans="1:19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</row>
    <row r="12" spans="1:19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46" t="s">
        <v>49</v>
      </c>
      <c r="L12" s="46"/>
      <c r="M12" s="23"/>
      <c r="N12" s="23"/>
      <c r="O12" s="23"/>
      <c r="P12" s="23"/>
      <c r="Q12" s="23"/>
      <c r="R12" s="23"/>
      <c r="S12" s="23"/>
    </row>
    <row r="13" spans="1:19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</row>
    <row r="14" spans="1:19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</row>
    <row r="15" spans="1:19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</row>
    <row r="16" spans="1:19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</row>
    <row r="17" spans="1:19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</row>
    <row r="18" spans="1:19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</row>
    <row r="19" spans="1:19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</row>
    <row r="20" spans="1:19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</row>
    <row r="21" spans="1:19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</row>
    <row r="22" spans="1:19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</row>
    <row r="23" spans="1:19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</row>
    <row r="24" spans="1:19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</row>
  </sheetData>
  <sheetProtection sheet="1" objects="1" scenarios="1"/>
  <mergeCells count="1">
    <mergeCell ref="K12:L12"/>
  </mergeCells>
  <dataValidations count="1">
    <dataValidation type="list" allowBlank="1" showInputMessage="1" showErrorMessage="1" sqref="K12:L12" xr:uid="{00000000-0002-0000-0000-000000000000}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47"/>
  <sheetViews>
    <sheetView workbookViewId="0">
      <selection activeCell="A11" sqref="A11"/>
    </sheetView>
  </sheetViews>
  <sheetFormatPr defaultRowHeight="14.4" x14ac:dyDescent="0.3"/>
  <cols>
    <col min="1" max="1" width="29" bestFit="1" customWidth="1"/>
    <col min="2" max="2" width="12" bestFit="1" customWidth="1"/>
    <col min="4" max="4" width="10" customWidth="1"/>
    <col min="6" max="6" width="14.88671875" bestFit="1" customWidth="1"/>
    <col min="7" max="7" width="20.21875" bestFit="1" customWidth="1"/>
    <col min="9" max="9" width="12.6640625" customWidth="1"/>
    <col min="10" max="10" width="13.6640625" customWidth="1"/>
    <col min="11" max="11" width="14" bestFit="1" customWidth="1"/>
    <col min="14" max="18" width="18.6640625" customWidth="1"/>
  </cols>
  <sheetData>
    <row r="1" spans="1:7" x14ac:dyDescent="0.3">
      <c r="A1" t="s">
        <v>12</v>
      </c>
      <c r="B1" s="1" t="str">
        <f>SUM(ProductMaster[Current Stock])&amp; " Unit(s)"</f>
        <v>625 Unit(s)</v>
      </c>
      <c r="D1" s="13"/>
      <c r="E1" s="13"/>
      <c r="F1" s="14" t="s">
        <v>31</v>
      </c>
      <c r="G1" t="s">
        <v>37</v>
      </c>
    </row>
    <row r="2" spans="1:7" x14ac:dyDescent="0.3">
      <c r="A2" t="s">
        <v>26</v>
      </c>
      <c r="B2" s="12">
        <f>SUM(ProductMaster[Value])</f>
        <v>0</v>
      </c>
      <c r="F2" s="15" t="s">
        <v>10</v>
      </c>
      <c r="G2" s="47">
        <v>165</v>
      </c>
    </row>
    <row r="3" spans="1:7" x14ac:dyDescent="0.3">
      <c r="A3" t="s">
        <v>27</v>
      </c>
      <c r="B3" s="13">
        <f ca="1">DATE(YEAR(TODAY()),MONTH(TODAY()),1)-1</f>
        <v>45322</v>
      </c>
      <c r="F3" s="15" t="s">
        <v>33</v>
      </c>
      <c r="G3" s="47">
        <v>330</v>
      </c>
    </row>
    <row r="4" spans="1:7" x14ac:dyDescent="0.3">
      <c r="A4" t="s">
        <v>28</v>
      </c>
      <c r="B4" s="13">
        <f ca="1">EOMONTH(TODAY(),0)+1</f>
        <v>45352</v>
      </c>
      <c r="F4" s="15" t="s">
        <v>35</v>
      </c>
      <c r="G4" s="47">
        <v>100</v>
      </c>
    </row>
    <row r="5" spans="1:7" x14ac:dyDescent="0.3">
      <c r="A5" t="s">
        <v>29</v>
      </c>
      <c r="B5" s="1" t="str">
        <f ca="1">SUMIFS(StockInData[Quantity],StockInData[Date],"&gt;"&amp;Help!B3,StockInData[Date],"&lt;"&amp;Help!B4)&amp;" Unit(s)"</f>
        <v>0 Unit(s)</v>
      </c>
      <c r="F5" s="15" t="s">
        <v>36</v>
      </c>
      <c r="G5" s="47">
        <v>30</v>
      </c>
    </row>
    <row r="6" spans="1:7" x14ac:dyDescent="0.3">
      <c r="A6" t="s">
        <v>30</v>
      </c>
      <c r="B6" s="1" t="str">
        <f ca="1">SUMIFS(StockOutData[Quantity],StockOutData[Date],"&gt;"&amp;Help!B3,StockOutData[Date],"&lt;"&amp;Help!B4)&amp;" Unit(s)"</f>
        <v>0 Unit(s)</v>
      </c>
      <c r="F6" s="15" t="s">
        <v>32</v>
      </c>
      <c r="G6" s="47">
        <v>625</v>
      </c>
    </row>
    <row r="7" spans="1:7" x14ac:dyDescent="0.3">
      <c r="A7" t="s">
        <v>52</v>
      </c>
      <c r="B7" s="19">
        <f>MATCH(Dashboard!K12,ProductMaster[Product Name],0)</f>
        <v>7</v>
      </c>
    </row>
    <row r="8" spans="1:7" x14ac:dyDescent="0.3">
      <c r="A8" t="s">
        <v>3</v>
      </c>
      <c r="B8" s="19" t="str">
        <f>VLOOKUP(B7,ProductMaster[#All],3,0)</f>
        <v>Galaxy Note 7</v>
      </c>
    </row>
    <row r="9" spans="1:7" x14ac:dyDescent="0.3">
      <c r="A9" t="s">
        <v>11</v>
      </c>
      <c r="B9">
        <f>VLOOKUP(B7,ProductMaster[#All],7,0)</f>
        <v>80</v>
      </c>
    </row>
    <row r="10" spans="1:7" x14ac:dyDescent="0.3">
      <c r="A10" t="s">
        <v>55</v>
      </c>
      <c r="B10">
        <f>VLOOKUP(B7,ProductMaster[#All],8,0)</f>
        <v>150</v>
      </c>
    </row>
    <row r="11" spans="1:7" x14ac:dyDescent="0.3">
      <c r="A11" t="s">
        <v>26</v>
      </c>
      <c r="B11" s="12">
        <f>VLOOKUP(B7,ProductMaster[#All],6,0)</f>
        <v>699.99</v>
      </c>
    </row>
    <row r="12" spans="1:7" x14ac:dyDescent="0.3">
      <c r="A12" t="s">
        <v>53</v>
      </c>
      <c r="B12" t="str">
        <f>"Current Stock is "&amp;B10&amp;" Unit(s). And, Stock Value is "&amp;TEXT(B11,"$0")</f>
        <v>Current Stock is 150 Unit(s). And, Stock Value is $700</v>
      </c>
    </row>
    <row r="13" spans="1:7" x14ac:dyDescent="0.3">
      <c r="A13" t="s">
        <v>54</v>
      </c>
      <c r="B13" t="str">
        <f>B8&amp;"'s"</f>
        <v>Galaxy Note 7's</v>
      </c>
    </row>
    <row r="15" spans="1:7" x14ac:dyDescent="0.3">
      <c r="A15" t="str">
        <f>IF(B10&gt;B9,"Relax! Stock Is Above Re-Order Level.","")</f>
        <v>Relax! Stock Is Above Re-Order Level.</v>
      </c>
    </row>
    <row r="16" spans="1:7" ht="37.5" customHeight="1" x14ac:dyDescent="0.3">
      <c r="A16" t="str">
        <f>IF(B9&gt;B10,"Do Something, Stock is Below Re-Order Level.","")</f>
        <v/>
      </c>
    </row>
    <row r="17" spans="1:1" ht="37.5" customHeight="1" x14ac:dyDescent="0.3">
      <c r="A17" t="str">
        <f>IF(B10=B9,"Hurry Up You Need More Stock","")</f>
        <v/>
      </c>
    </row>
    <row r="18" spans="1:1" ht="37.5" customHeight="1" x14ac:dyDescent="0.3"/>
    <row r="19" spans="1:1" ht="52.5" customHeight="1" x14ac:dyDescent="0.3"/>
    <row r="20" spans="1:1" ht="52.5" customHeight="1" x14ac:dyDescent="0.3"/>
    <row r="38" ht="31.5" customHeight="1" x14ac:dyDescent="0.3"/>
    <row r="39" ht="79.5" customHeight="1" x14ac:dyDescent="0.3"/>
    <row r="40" ht="31.5" customHeight="1" x14ac:dyDescent="0.3"/>
    <row r="41" ht="31.5" customHeight="1" x14ac:dyDescent="0.3"/>
    <row r="42" ht="31.5" customHeight="1" x14ac:dyDescent="0.3"/>
    <row r="43" ht="31.5" customHeight="1" x14ac:dyDescent="0.3"/>
    <row r="44" ht="31.5" customHeight="1" x14ac:dyDescent="0.3"/>
    <row r="45" ht="31.5" customHeight="1" x14ac:dyDescent="0.3"/>
    <row r="46" ht="31.5" customHeight="1" x14ac:dyDescent="0.3"/>
    <row r="47" ht="31.5" customHeight="1" x14ac:dyDescent="0.3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3"/>
  <sheetViews>
    <sheetView showGridLines="0" workbookViewId="0">
      <selection activeCell="A9" sqref="A9"/>
    </sheetView>
  </sheetViews>
  <sheetFormatPr defaultColWidth="0" defaultRowHeight="14.4" zeroHeight="1" x14ac:dyDescent="0.3"/>
  <cols>
    <col min="1" max="1" width="28.44140625" bestFit="1" customWidth="1"/>
    <col min="2" max="2" width="31.44140625" style="8" customWidth="1"/>
    <col min="3" max="3" width="26.44140625" customWidth="1"/>
    <col min="4" max="8" width="0" hidden="1" customWidth="1"/>
    <col min="9" max="16384" width="9" hidden="1"/>
  </cols>
  <sheetData>
    <row r="1" spans="1:3" x14ac:dyDescent="0.3">
      <c r="A1" s="27"/>
      <c r="B1" s="28"/>
      <c r="C1" s="27"/>
    </row>
    <row r="2" spans="1:3" x14ac:dyDescent="0.3">
      <c r="A2" s="27"/>
      <c r="B2" s="28"/>
      <c r="C2" s="27"/>
    </row>
    <row r="3" spans="1:3" ht="15" thickBot="1" x14ac:dyDescent="0.35">
      <c r="A3" s="29"/>
      <c r="B3" s="30"/>
      <c r="C3" s="29"/>
    </row>
    <row r="4" spans="1:3" x14ac:dyDescent="0.3">
      <c r="A4" s="23"/>
      <c r="B4" s="24"/>
      <c r="C4" s="23"/>
    </row>
    <row r="5" spans="1:3" s="36" customFormat="1" ht="27.75" customHeight="1" x14ac:dyDescent="0.3">
      <c r="A5" s="37" t="s">
        <v>0</v>
      </c>
      <c r="B5" s="38" t="str">
        <f>IF(B8="","",(MAX(StockInData[S No.])+1))</f>
        <v/>
      </c>
      <c r="C5" s="35"/>
    </row>
    <row r="6" spans="1:3" s="36" customFormat="1" ht="27.75" customHeight="1" x14ac:dyDescent="0.3">
      <c r="A6" s="37" t="s">
        <v>1</v>
      </c>
      <c r="B6" s="39" t="str">
        <f ca="1">IF(B8="","",TODAY())</f>
        <v/>
      </c>
      <c r="C6" s="35"/>
    </row>
    <row r="7" spans="1:3" s="36" customFormat="1" ht="27.75" customHeight="1" x14ac:dyDescent="0.3">
      <c r="A7" s="37" t="s">
        <v>2</v>
      </c>
      <c r="B7" s="40" t="str">
        <f>IFERROR(INDEX(ProductMaster[Product ID],MATCH(EnterStockIn!B8,ProductMaster[Product Name],0),0),"")</f>
        <v/>
      </c>
      <c r="C7" s="35"/>
    </row>
    <row r="8" spans="1:3" s="36" customFormat="1" ht="27.75" customHeight="1" x14ac:dyDescent="0.3">
      <c r="A8" s="37" t="s">
        <v>3</v>
      </c>
      <c r="B8" s="31"/>
      <c r="C8" s="35"/>
    </row>
    <row r="9" spans="1:3" s="36" customFormat="1" ht="27.75" customHeight="1" x14ac:dyDescent="0.3">
      <c r="A9" s="37" t="s">
        <v>4</v>
      </c>
      <c r="B9" s="40" t="str">
        <f>IFERROR(INDEX(ProductMaster[Product Description],MATCH(EnterStockIn!B8,ProductMaster[Product Name],0),0),"")</f>
        <v/>
      </c>
      <c r="C9" s="35"/>
    </row>
    <row r="10" spans="1:3" s="36" customFormat="1" ht="27.75" customHeight="1" x14ac:dyDescent="0.3">
      <c r="A10" s="37" t="s">
        <v>5</v>
      </c>
      <c r="B10" s="40" t="str">
        <f>IFERROR(INDEX(ProductMaster[Product Category],MATCH(EnterStockIn!B8,ProductMaster[Product Name],0),0),"")</f>
        <v/>
      </c>
      <c r="C10" s="35"/>
    </row>
    <row r="11" spans="1:3" s="36" customFormat="1" ht="27.75" customHeight="1" x14ac:dyDescent="0.3">
      <c r="A11" s="37" t="s">
        <v>6</v>
      </c>
      <c r="B11" s="31"/>
      <c r="C11" s="35"/>
    </row>
    <row r="12" spans="1:3" s="36" customFormat="1" ht="27.75" customHeight="1" thickBot="1" x14ac:dyDescent="0.35">
      <c r="A12" s="41" t="s">
        <v>7</v>
      </c>
      <c r="B12" s="42" t="str">
        <f>IF(B11="","",(IFERROR(INDEX(ProductMaster[Unit Price],MATCH(EnterStockIn!B8,ProductMaster[Product Name],0),0),0)*B11))</f>
        <v/>
      </c>
      <c r="C12" s="35"/>
    </row>
    <row r="13" spans="1:3" ht="15" thickTop="1" x14ac:dyDescent="0.3">
      <c r="A13" s="23"/>
      <c r="B13" s="24"/>
      <c r="C13" s="23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 xr:uid="{00000000-0002-0000-02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200-000001000000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3"/>
  <sheetViews>
    <sheetView showGridLines="0" workbookViewId="0">
      <selection activeCell="B5" sqref="B5"/>
    </sheetView>
  </sheetViews>
  <sheetFormatPr defaultColWidth="0" defaultRowHeight="15" customHeight="1" zeroHeight="1" x14ac:dyDescent="0.3"/>
  <cols>
    <col min="1" max="1" width="28.44140625" bestFit="1" customWidth="1"/>
    <col min="2" max="2" width="31.44140625" style="8" customWidth="1"/>
    <col min="3" max="3" width="26.44140625" customWidth="1"/>
    <col min="4" max="8" width="0" hidden="1" customWidth="1"/>
    <col min="9" max="16384" width="9" hidden="1"/>
  </cols>
  <sheetData>
    <row r="1" spans="1:3" ht="14.4" x14ac:dyDescent="0.3">
      <c r="A1" s="27"/>
      <c r="B1" s="28"/>
      <c r="C1" s="27"/>
    </row>
    <row r="2" spans="1:3" ht="14.4" x14ac:dyDescent="0.3">
      <c r="A2" s="27"/>
      <c r="B2" s="28"/>
      <c r="C2" s="27"/>
    </row>
    <row r="3" spans="1:3" thickBot="1" x14ac:dyDescent="0.35">
      <c r="A3" s="29"/>
      <c r="B3" s="30"/>
      <c r="C3" s="29"/>
    </row>
    <row r="4" spans="1:3" ht="14.4" x14ac:dyDescent="0.3">
      <c r="A4" s="23"/>
      <c r="B4" s="24"/>
      <c r="C4" s="23"/>
    </row>
    <row r="5" spans="1:3" ht="27" customHeight="1" x14ac:dyDescent="0.3">
      <c r="A5" s="37" t="s">
        <v>0</v>
      </c>
      <c r="B5" s="38" t="str">
        <f>IF(B8="","",(MAX(StockOutData[S No.])+1))</f>
        <v/>
      </c>
      <c r="C5" s="23"/>
    </row>
    <row r="6" spans="1:3" ht="27" customHeight="1" x14ac:dyDescent="0.3">
      <c r="A6" s="37" t="s">
        <v>1</v>
      </c>
      <c r="B6" s="39" t="str">
        <f ca="1">IF(B8="","",TODAY())</f>
        <v/>
      </c>
      <c r="C6" s="23"/>
    </row>
    <row r="7" spans="1:3" ht="27" customHeight="1" x14ac:dyDescent="0.3">
      <c r="A7" s="37" t="s">
        <v>2</v>
      </c>
      <c r="B7" s="40" t="str">
        <f>IFERROR(INDEX(ProductMaster[Product ID],MATCH(EnterStockOut!B8,ProductMaster[Product Name],0),0),"")</f>
        <v/>
      </c>
      <c r="C7" s="23"/>
    </row>
    <row r="8" spans="1:3" ht="27" customHeight="1" x14ac:dyDescent="0.3">
      <c r="A8" s="37" t="s">
        <v>3</v>
      </c>
      <c r="B8" s="31"/>
      <c r="C8" s="23"/>
    </row>
    <row r="9" spans="1:3" ht="27" customHeight="1" x14ac:dyDescent="0.3">
      <c r="A9" s="37" t="s">
        <v>4</v>
      </c>
      <c r="B9" s="40" t="str">
        <f>IFERROR(INDEX(ProductMaster[Product Description],MATCH(EnterStockOut!B8,ProductMaster[Product Name],0),0),"")</f>
        <v/>
      </c>
      <c r="C9" s="23"/>
    </row>
    <row r="10" spans="1:3" ht="27" customHeight="1" x14ac:dyDescent="0.3">
      <c r="A10" s="37" t="s">
        <v>5</v>
      </c>
      <c r="B10" s="40" t="str">
        <f>IFERROR(INDEX(ProductMaster[Product Category],MATCH(EnterStockOut!B8,ProductMaster[Product Name],0),0),"")</f>
        <v/>
      </c>
      <c r="C10" s="23"/>
    </row>
    <row r="11" spans="1:3" ht="27" customHeight="1" x14ac:dyDescent="0.3">
      <c r="A11" s="37" t="s">
        <v>6</v>
      </c>
      <c r="B11" s="31"/>
      <c r="C11" s="23"/>
    </row>
    <row r="12" spans="1:3" ht="27" customHeight="1" thickBot="1" x14ac:dyDescent="0.35">
      <c r="A12" s="41" t="s">
        <v>7</v>
      </c>
      <c r="B12" s="42" t="str">
        <f>IF(B11="","",(IFERROR(INDEX(ProductMaster[Unit Price],MATCH(EnterStockOut!B8,ProductMaster[Product Name],0),0),0)*B11))</f>
        <v/>
      </c>
      <c r="C12" s="23"/>
    </row>
    <row r="13" spans="1:3" thickTop="1" x14ac:dyDescent="0.3">
      <c r="A13" s="23"/>
      <c r="B13" s="24"/>
      <c r="C13" s="23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300-000001000000}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0"/>
  <sheetViews>
    <sheetView showGridLines="0" workbookViewId="0">
      <pane ySplit="1" topLeftCell="A2" activePane="bottomLeft" state="frozen"/>
      <selection pane="bottomLeft" activeCell="H2" sqref="H2:H20"/>
    </sheetView>
  </sheetViews>
  <sheetFormatPr defaultRowHeight="14.4" x14ac:dyDescent="0.3"/>
  <cols>
    <col min="1" max="1" width="5" style="1" customWidth="1"/>
    <col min="2" max="2" width="10.109375" style="10" customWidth="1"/>
    <col min="3" max="3" width="9.77734375" style="1" customWidth="1"/>
    <col min="4" max="4" width="15.109375" style="1" customWidth="1"/>
    <col min="5" max="5" width="17.109375" style="1" customWidth="1"/>
    <col min="6" max="6" width="17.109375" customWidth="1"/>
    <col min="7" max="7" width="7.109375" customWidth="1"/>
    <col min="8" max="8" width="12.21875" customWidth="1"/>
  </cols>
  <sheetData>
    <row r="1" spans="1:8" s="5" customFormat="1" ht="13.2" x14ac:dyDescent="0.3">
      <c r="A1" s="3" t="s">
        <v>0</v>
      </c>
      <c r="B1" s="9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2">
        <v>1</v>
      </c>
      <c r="B2" s="4">
        <v>42588</v>
      </c>
      <c r="C2" s="2" t="s">
        <v>14</v>
      </c>
      <c r="D2" s="16" t="s">
        <v>40</v>
      </c>
      <c r="E2" s="16" t="s">
        <v>41</v>
      </c>
      <c r="F2" s="2" t="s">
        <v>10</v>
      </c>
      <c r="G2" s="2">
        <v>20</v>
      </c>
      <c r="H2" s="11"/>
    </row>
    <row r="3" spans="1:8" x14ac:dyDescent="0.3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1"/>
    </row>
    <row r="4" spans="1:8" x14ac:dyDescent="0.3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1"/>
    </row>
    <row r="5" spans="1:8" x14ac:dyDescent="0.3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1"/>
    </row>
    <row r="6" spans="1:8" x14ac:dyDescent="0.3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1"/>
    </row>
    <row r="7" spans="1:8" x14ac:dyDescent="0.3">
      <c r="A7" s="16">
        <v>3</v>
      </c>
      <c r="B7" s="17">
        <v>42590</v>
      </c>
      <c r="C7" s="16" t="s">
        <v>16</v>
      </c>
      <c r="D7" s="16" t="s">
        <v>45</v>
      </c>
      <c r="E7" s="16" t="s">
        <v>44</v>
      </c>
      <c r="F7" s="16" t="s">
        <v>10</v>
      </c>
      <c r="G7" s="16">
        <v>10</v>
      </c>
      <c r="H7" s="18"/>
    </row>
    <row r="8" spans="1:8" x14ac:dyDescent="0.3">
      <c r="A8" s="16">
        <v>4</v>
      </c>
      <c r="B8" s="17">
        <v>42590</v>
      </c>
      <c r="C8" s="16" t="s">
        <v>14</v>
      </c>
      <c r="D8" s="16" t="s">
        <v>40</v>
      </c>
      <c r="E8" s="16" t="s">
        <v>41</v>
      </c>
      <c r="F8" s="16" t="s">
        <v>10</v>
      </c>
      <c r="G8" s="16">
        <v>10</v>
      </c>
      <c r="H8" s="18"/>
    </row>
    <row r="9" spans="1:8" x14ac:dyDescent="0.3">
      <c r="A9" s="16">
        <v>5</v>
      </c>
      <c r="B9" s="17">
        <v>42590</v>
      </c>
      <c r="C9" s="16" t="s">
        <v>13</v>
      </c>
      <c r="D9" s="16" t="s">
        <v>47</v>
      </c>
      <c r="E9" s="16" t="s">
        <v>8</v>
      </c>
      <c r="F9" s="16" t="s">
        <v>10</v>
      </c>
      <c r="G9" s="16">
        <v>5</v>
      </c>
      <c r="H9" s="18"/>
    </row>
    <row r="10" spans="1:8" x14ac:dyDescent="0.3">
      <c r="A10" s="16">
        <v>6</v>
      </c>
      <c r="B10" s="17">
        <v>42590</v>
      </c>
      <c r="C10" s="16" t="s">
        <v>14</v>
      </c>
      <c r="D10" s="16" t="s">
        <v>40</v>
      </c>
      <c r="E10" s="16" t="s">
        <v>41</v>
      </c>
      <c r="F10" s="16" t="s">
        <v>10</v>
      </c>
      <c r="G10" s="16">
        <v>10</v>
      </c>
      <c r="H10" s="18"/>
    </row>
    <row r="11" spans="1:8" x14ac:dyDescent="0.3">
      <c r="A11" s="16">
        <v>7</v>
      </c>
      <c r="B11" s="17">
        <v>42590</v>
      </c>
      <c r="C11" s="16" t="s">
        <v>15</v>
      </c>
      <c r="D11" s="16" t="s">
        <v>46</v>
      </c>
      <c r="E11" s="16" t="s">
        <v>43</v>
      </c>
      <c r="F11" s="16" t="s">
        <v>10</v>
      </c>
      <c r="G11" s="16">
        <v>50</v>
      </c>
      <c r="H11" s="18"/>
    </row>
    <row r="12" spans="1:8" x14ac:dyDescent="0.3">
      <c r="A12" s="16">
        <v>8</v>
      </c>
      <c r="B12" s="17">
        <v>42590</v>
      </c>
      <c r="C12" s="16" t="s">
        <v>18</v>
      </c>
      <c r="D12" s="16" t="s">
        <v>50</v>
      </c>
      <c r="E12" s="16" t="s">
        <v>34</v>
      </c>
      <c r="F12" s="16" t="s">
        <v>33</v>
      </c>
      <c r="G12" s="16">
        <v>200</v>
      </c>
      <c r="H12" s="18"/>
    </row>
    <row r="13" spans="1:8" x14ac:dyDescent="0.3">
      <c r="A13" s="16">
        <v>9</v>
      </c>
      <c r="B13" s="17">
        <v>42590</v>
      </c>
      <c r="C13" s="16" t="s">
        <v>19</v>
      </c>
      <c r="D13" s="16" t="s">
        <v>49</v>
      </c>
      <c r="E13" s="16" t="s">
        <v>34</v>
      </c>
      <c r="F13" s="16" t="s">
        <v>33</v>
      </c>
      <c r="G13" s="16">
        <v>150</v>
      </c>
      <c r="H13" s="18"/>
    </row>
    <row r="14" spans="1:8" x14ac:dyDescent="0.3">
      <c r="A14" s="16">
        <v>10</v>
      </c>
      <c r="B14" s="17">
        <v>42590</v>
      </c>
      <c r="C14" s="16" t="s">
        <v>20</v>
      </c>
      <c r="D14" s="16" t="s">
        <v>38</v>
      </c>
      <c r="E14" s="16" t="s">
        <v>34</v>
      </c>
      <c r="F14" s="16" t="s">
        <v>35</v>
      </c>
      <c r="G14" s="16">
        <v>70</v>
      </c>
      <c r="H14" s="18"/>
    </row>
    <row r="15" spans="1:8" x14ac:dyDescent="0.3">
      <c r="A15" s="16">
        <v>11</v>
      </c>
      <c r="B15" s="17">
        <v>42590</v>
      </c>
      <c r="C15" s="16" t="s">
        <v>22</v>
      </c>
      <c r="D15" s="16" t="s">
        <v>42</v>
      </c>
      <c r="E15" s="16" t="s">
        <v>36</v>
      </c>
      <c r="F15" s="16" t="s">
        <v>36</v>
      </c>
      <c r="G15" s="16">
        <v>30</v>
      </c>
      <c r="H15" s="18"/>
    </row>
    <row r="16" spans="1:8" x14ac:dyDescent="0.3">
      <c r="A16" s="16">
        <v>12</v>
      </c>
      <c r="B16" s="17">
        <v>42590</v>
      </c>
      <c r="C16" s="16" t="s">
        <v>21</v>
      </c>
      <c r="D16" s="16" t="s">
        <v>39</v>
      </c>
      <c r="E16" s="16" t="s">
        <v>34</v>
      </c>
      <c r="F16" s="16" t="s">
        <v>35</v>
      </c>
      <c r="G16" s="16">
        <v>30</v>
      </c>
      <c r="H16" s="18"/>
    </row>
    <row r="17" spans="1:8" x14ac:dyDescent="0.3">
      <c r="A17" s="16">
        <v>13</v>
      </c>
      <c r="B17" s="17">
        <v>42590</v>
      </c>
      <c r="C17" s="16" t="s">
        <v>17</v>
      </c>
      <c r="D17" s="16" t="s">
        <v>48</v>
      </c>
      <c r="E17" s="16" t="s">
        <v>51</v>
      </c>
      <c r="F17" s="16" t="s">
        <v>10</v>
      </c>
      <c r="G17" s="16">
        <v>10</v>
      </c>
      <c r="H17" s="18"/>
    </row>
    <row r="18" spans="1:8" x14ac:dyDescent="0.3">
      <c r="A18" s="16">
        <v>14</v>
      </c>
      <c r="B18" s="17">
        <v>42590</v>
      </c>
      <c r="C18" s="16" t="s">
        <v>16</v>
      </c>
      <c r="D18" s="16" t="s">
        <v>45</v>
      </c>
      <c r="E18" s="16" t="s">
        <v>44</v>
      </c>
      <c r="F18" s="16" t="s">
        <v>10</v>
      </c>
      <c r="G18" s="16">
        <v>10</v>
      </c>
      <c r="H18" s="18"/>
    </row>
    <row r="19" spans="1:8" x14ac:dyDescent="0.3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1"/>
    </row>
    <row r="20" spans="1:8" x14ac:dyDescent="0.3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1"/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7"/>
  <sheetViews>
    <sheetView showGridLines="0" workbookViewId="0">
      <pane ySplit="1" topLeftCell="A2" activePane="bottomLeft" state="frozen"/>
      <selection pane="bottomLeft" activeCell="H2" sqref="H2:H7"/>
    </sheetView>
  </sheetViews>
  <sheetFormatPr defaultRowHeight="14.4" x14ac:dyDescent="0.3"/>
  <cols>
    <col min="1" max="1" width="5" style="1" bestFit="1" customWidth="1"/>
    <col min="2" max="2" width="11" style="10" bestFit="1" customWidth="1"/>
    <col min="3" max="3" width="9.77734375" style="1" bestFit="1" customWidth="1"/>
    <col min="4" max="4" width="13" style="1" bestFit="1" customWidth="1"/>
    <col min="5" max="5" width="17.109375" style="1" bestFit="1" customWidth="1"/>
    <col min="6" max="6" width="17.109375" bestFit="1" customWidth="1"/>
    <col min="7" max="7" width="7.109375" bestFit="1" customWidth="1"/>
    <col min="8" max="8" width="11" bestFit="1" customWidth="1"/>
  </cols>
  <sheetData>
    <row r="1" spans="1:8" s="5" customFormat="1" ht="13.2" x14ac:dyDescent="0.3">
      <c r="A1" s="3" t="s">
        <v>0</v>
      </c>
      <c r="B1" s="9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1"/>
    </row>
    <row r="3" spans="1:8" x14ac:dyDescent="0.3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1"/>
    </row>
    <row r="4" spans="1:8" x14ac:dyDescent="0.3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1"/>
    </row>
    <row r="5" spans="1:8" x14ac:dyDescent="0.3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1"/>
    </row>
    <row r="6" spans="1:8" x14ac:dyDescent="0.3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1"/>
    </row>
    <row r="7" spans="1:8" x14ac:dyDescent="0.3">
      <c r="A7" s="2">
        <v>17</v>
      </c>
      <c r="B7" s="4">
        <v>42754</v>
      </c>
      <c r="C7" s="2" t="s">
        <v>15</v>
      </c>
      <c r="D7" s="2" t="s">
        <v>46</v>
      </c>
      <c r="E7" s="2" t="s">
        <v>43</v>
      </c>
      <c r="F7" s="2" t="s">
        <v>10</v>
      </c>
      <c r="G7" s="2">
        <v>10</v>
      </c>
      <c r="H7" s="11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1"/>
  <sheetViews>
    <sheetView showGridLines="0" workbookViewId="0">
      <pane ySplit="1" topLeftCell="A2" activePane="bottomLeft" state="frozen"/>
      <selection pane="bottomLeft" activeCell="B1" sqref="B1:I11"/>
    </sheetView>
  </sheetViews>
  <sheetFormatPr defaultRowHeight="14.4" x14ac:dyDescent="0.3"/>
  <cols>
    <col min="1" max="1" width="5" customWidth="1"/>
    <col min="2" max="2" width="9.77734375" bestFit="1" customWidth="1"/>
    <col min="3" max="3" width="15.109375" bestFit="1" customWidth="1"/>
    <col min="4" max="5" width="17.109375" bestFit="1" customWidth="1"/>
    <col min="6" max="6" width="9.77734375" style="12" bestFit="1" customWidth="1"/>
    <col min="7" max="7" width="11.109375" bestFit="1" customWidth="1"/>
    <col min="8" max="8" width="10.88671875" bestFit="1" customWidth="1"/>
    <col min="9" max="9" width="12.21875" bestFit="1" customWidth="1"/>
  </cols>
  <sheetData>
    <row r="1" spans="1:9" s="7" customFormat="1" ht="13.2" x14ac:dyDescent="0.25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0" t="s">
        <v>25</v>
      </c>
      <c r="G1" s="6" t="s">
        <v>11</v>
      </c>
      <c r="H1" s="6" t="s">
        <v>12</v>
      </c>
      <c r="I1" s="6" t="s">
        <v>7</v>
      </c>
    </row>
    <row r="2" spans="1:9" x14ac:dyDescent="0.3">
      <c r="A2" s="21">
        <v>1</v>
      </c>
      <c r="B2" s="21" t="s">
        <v>13</v>
      </c>
      <c r="C2" s="21" t="s">
        <v>47</v>
      </c>
      <c r="D2" s="21" t="s">
        <v>8</v>
      </c>
      <c r="E2" s="21" t="s">
        <v>10</v>
      </c>
      <c r="F2" s="22">
        <v>350</v>
      </c>
      <c r="G2" s="21">
        <v>20</v>
      </c>
      <c r="H2" s="21">
        <f>SUMIFS(StockInData[Quantity],StockInData[Product ID],ProductMaster[[#This Row],[Product ID]])-SUMIFS(StockOutData[Quantity],StockOutData[Product ID],ProductMaster[[#This Row],[Product ID]])</f>
        <v>65</v>
      </c>
      <c r="I2" s="22">
        <f>SUMIFS(StockInData[Value],StockInData[Product ID],ProductMaster[[#This Row],[Product ID]])-SUMIFS(StockOutData[Value],StockOutData[Product ID],ProductMaster[[#This Row],[Product ID]])</f>
        <v>0</v>
      </c>
    </row>
    <row r="3" spans="1:9" x14ac:dyDescent="0.3">
      <c r="A3" s="21">
        <v>2</v>
      </c>
      <c r="B3" s="21" t="s">
        <v>14</v>
      </c>
      <c r="C3" s="21" t="s">
        <v>40</v>
      </c>
      <c r="D3" s="21" t="s">
        <v>41</v>
      </c>
      <c r="E3" s="21" t="s">
        <v>10</v>
      </c>
      <c r="F3" s="22">
        <v>5599</v>
      </c>
      <c r="G3" s="21">
        <v>15</v>
      </c>
      <c r="H3" s="21">
        <f>SUMIFS(StockInData[Quantity],StockInData[Product ID],ProductMaster[[#This Row],[Product ID]])-SUMIFS(StockOutData[Quantity],StockOutData[Product ID],ProductMaster[[#This Row],[Product ID]])</f>
        <v>40</v>
      </c>
      <c r="I3" s="22">
        <f>SUMIFS(StockInData[Value],StockInData[Product ID],ProductMaster[[#This Row],[Product ID]])-SUMIFS(StockOutData[Value],StockOutData[Product ID],ProductMaster[[#This Row],[Product ID]])</f>
        <v>0</v>
      </c>
    </row>
    <row r="4" spans="1:9" x14ac:dyDescent="0.3">
      <c r="A4" s="21">
        <v>3</v>
      </c>
      <c r="B4" s="21" t="s">
        <v>15</v>
      </c>
      <c r="C4" s="21" t="s">
        <v>46</v>
      </c>
      <c r="D4" s="21" t="s">
        <v>43</v>
      </c>
      <c r="E4" s="21" t="s">
        <v>10</v>
      </c>
      <c r="F4" s="22">
        <v>1099</v>
      </c>
      <c r="G4" s="21">
        <v>10</v>
      </c>
      <c r="H4" s="21">
        <f>SUMIFS(StockInData[Quantity],StockInData[Product ID],ProductMaster[[#This Row],[Product ID]])-SUMIFS(StockOutData[Quantity],StockOutData[Product ID],ProductMaster[[#This Row],[Product ID]])</f>
        <v>40</v>
      </c>
      <c r="I4" s="22">
        <f>SUMIFS(StockInData[Value],StockInData[Product ID],ProductMaster[[#This Row],[Product ID]])-SUMIFS(StockOutData[Value],StockOutData[Product ID],ProductMaster[[#This Row],[Product ID]])</f>
        <v>0</v>
      </c>
    </row>
    <row r="5" spans="1:9" x14ac:dyDescent="0.3">
      <c r="A5" s="21">
        <v>4</v>
      </c>
      <c r="B5" s="21" t="s">
        <v>16</v>
      </c>
      <c r="C5" s="21" t="s">
        <v>45</v>
      </c>
      <c r="D5" s="21" t="s">
        <v>44</v>
      </c>
      <c r="E5" s="21" t="s">
        <v>10</v>
      </c>
      <c r="F5" s="22">
        <v>169</v>
      </c>
      <c r="G5" s="21">
        <v>8</v>
      </c>
      <c r="H5" s="21">
        <f>SUMIFS(StockInData[Quantity],StockInData[Product ID],ProductMaster[[#This Row],[Product ID]])-SUMIFS(StockOutData[Quantity],StockOutData[Product ID],ProductMaster[[#This Row],[Product ID]])</f>
        <v>15</v>
      </c>
      <c r="I5" s="22">
        <f>SUMIFS(StockInData[Value],StockInData[Product ID],ProductMaster[[#This Row],[Product ID]])-SUMIFS(StockOutData[Value],StockOutData[Product ID],ProductMaster[[#This Row],[Product ID]])</f>
        <v>0</v>
      </c>
    </row>
    <row r="6" spans="1:9" x14ac:dyDescent="0.3">
      <c r="A6" s="21">
        <v>5</v>
      </c>
      <c r="B6" s="21" t="s">
        <v>17</v>
      </c>
      <c r="C6" s="21" t="s">
        <v>48</v>
      </c>
      <c r="D6" s="21" t="s">
        <v>51</v>
      </c>
      <c r="E6" s="21" t="s">
        <v>10</v>
      </c>
      <c r="F6" s="22">
        <v>999.99</v>
      </c>
      <c r="G6" s="21">
        <v>5</v>
      </c>
      <c r="H6" s="21">
        <f>SUMIFS(StockInData[Quantity],StockInData[Product ID],ProductMaster[[#This Row],[Product ID]])-SUMIFS(StockOutData[Quantity],StockOutData[Product ID],ProductMaster[[#This Row],[Product ID]])</f>
        <v>5</v>
      </c>
      <c r="I6" s="22">
        <f>SUMIFS(StockInData[Value],StockInData[Product ID],ProductMaster[[#This Row],[Product ID]])-SUMIFS(StockOutData[Value],StockOutData[Product ID],ProductMaster[[#This Row],[Product ID]])</f>
        <v>0</v>
      </c>
    </row>
    <row r="7" spans="1:9" x14ac:dyDescent="0.3">
      <c r="A7" s="21">
        <v>6</v>
      </c>
      <c r="B7" s="21" t="s">
        <v>18</v>
      </c>
      <c r="C7" s="21" t="s">
        <v>50</v>
      </c>
      <c r="D7" s="21" t="s">
        <v>34</v>
      </c>
      <c r="E7" s="21" t="s">
        <v>33</v>
      </c>
      <c r="F7" s="22">
        <v>849.99</v>
      </c>
      <c r="G7" s="21">
        <v>120</v>
      </c>
      <c r="H7" s="21">
        <f>SUMIFS(StockInData[Quantity],StockInData[Product ID],ProductMaster[[#This Row],[Product ID]])-SUMIFS(StockOutData[Quantity],StockOutData[Product ID],ProductMaster[[#This Row],[Product ID]])</f>
        <v>180</v>
      </c>
      <c r="I7" s="22">
        <f>SUMIFS(StockInData[Value],StockInData[Product ID],ProductMaster[[#This Row],[Product ID]])-SUMIFS(StockOutData[Value],StockOutData[Product ID],ProductMaster[[#This Row],[Product ID]])</f>
        <v>0</v>
      </c>
    </row>
    <row r="8" spans="1:9" x14ac:dyDescent="0.3">
      <c r="A8" s="21">
        <v>7</v>
      </c>
      <c r="B8" s="21" t="s">
        <v>19</v>
      </c>
      <c r="C8" s="21" t="s">
        <v>49</v>
      </c>
      <c r="D8" s="21" t="s">
        <v>34</v>
      </c>
      <c r="E8" s="21" t="s">
        <v>33</v>
      </c>
      <c r="F8" s="22">
        <v>699.99</v>
      </c>
      <c r="G8" s="21">
        <v>80</v>
      </c>
      <c r="H8" s="21">
        <f>SUMIFS(StockInData[Quantity],StockInData[Product ID],ProductMaster[[#This Row],[Product ID]])-SUMIFS(StockOutData[Quantity],StockOutData[Product ID],ProductMaster[[#This Row],[Product ID]])</f>
        <v>150</v>
      </c>
      <c r="I8" s="22">
        <f>SUMIFS(StockInData[Value],StockInData[Product ID],ProductMaster[[#This Row],[Product ID]])-SUMIFS(StockOutData[Value],StockOutData[Product ID],ProductMaster[[#This Row],[Product ID]])</f>
        <v>0</v>
      </c>
    </row>
    <row r="9" spans="1:9" x14ac:dyDescent="0.3">
      <c r="A9" s="21">
        <v>8</v>
      </c>
      <c r="B9" s="21" t="s">
        <v>20</v>
      </c>
      <c r="C9" s="21" t="s">
        <v>38</v>
      </c>
      <c r="D9" s="21" t="s">
        <v>34</v>
      </c>
      <c r="E9" s="21" t="s">
        <v>35</v>
      </c>
      <c r="F9" s="22">
        <v>279.89999999999998</v>
      </c>
      <c r="G9" s="21">
        <v>60</v>
      </c>
      <c r="H9" s="21">
        <f>SUMIFS(StockInData[Quantity],StockInData[Product ID],ProductMaster[[#This Row],[Product ID]])-SUMIFS(StockOutData[Quantity],StockOutData[Product ID],ProductMaster[[#This Row],[Product ID]])</f>
        <v>70</v>
      </c>
      <c r="I9" s="22">
        <f>SUMIFS(StockInData[Value],StockInData[Product ID],ProductMaster[[#This Row],[Product ID]])-SUMIFS(StockOutData[Value],StockOutData[Product ID],ProductMaster[[#This Row],[Product ID]])</f>
        <v>0</v>
      </c>
    </row>
    <row r="10" spans="1:9" x14ac:dyDescent="0.3">
      <c r="A10" s="21">
        <v>9</v>
      </c>
      <c r="B10" s="21" t="s">
        <v>21</v>
      </c>
      <c r="C10" s="21" t="s">
        <v>39</v>
      </c>
      <c r="D10" s="21" t="s">
        <v>34</v>
      </c>
      <c r="E10" s="21" t="s">
        <v>35</v>
      </c>
      <c r="F10" s="22">
        <v>399.99</v>
      </c>
      <c r="G10" s="21">
        <v>15</v>
      </c>
      <c r="H10" s="21">
        <f>SUMIFS(StockInData[Quantity],StockInData[Product ID],ProductMaster[[#This Row],[Product ID]])-SUMIFS(StockOutData[Quantity],StockOutData[Product ID],ProductMaster[[#This Row],[Product ID]])</f>
        <v>30</v>
      </c>
      <c r="I10" s="22">
        <f>SUMIFS(StockInData[Value],StockInData[Product ID],ProductMaster[[#This Row],[Product ID]])-SUMIFS(StockOutData[Value],StockOutData[Product ID],ProductMaster[[#This Row],[Product ID]])</f>
        <v>0</v>
      </c>
    </row>
    <row r="11" spans="1:9" x14ac:dyDescent="0.3">
      <c r="A11" s="21">
        <v>10</v>
      </c>
      <c r="B11" s="21" t="s">
        <v>22</v>
      </c>
      <c r="C11" s="21" t="s">
        <v>42</v>
      </c>
      <c r="D11" s="21" t="s">
        <v>36</v>
      </c>
      <c r="E11" s="21" t="s">
        <v>36</v>
      </c>
      <c r="F11" s="22">
        <v>1199.99</v>
      </c>
      <c r="G11" s="21">
        <v>30</v>
      </c>
      <c r="H11" s="21">
        <f>SUMIFS(StockInData[Quantity],StockInData[Product ID],ProductMaster[[#This Row],[Product ID]])-SUMIFS(StockOutData[Quantity],StockOutData[Product ID],ProductMaster[[#This Row],[Product ID]])</f>
        <v>30</v>
      </c>
      <c r="I11" s="22">
        <f>SUMIFS(StockInData[Value],StockInData[Product ID],ProductMaster[[#This Row],[Product ID]])-SUMIFS(StockOutData[Value],StockOutData[Product ID],ProductMaster[[#This Row],[Product ID]])</f>
        <v>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2"/>
  <sheetViews>
    <sheetView showGridLines="0" workbookViewId="0">
      <selection activeCell="A9" sqref="A9"/>
    </sheetView>
  </sheetViews>
  <sheetFormatPr defaultColWidth="0" defaultRowHeight="15" customHeight="1" zeroHeight="1" x14ac:dyDescent="0.3"/>
  <cols>
    <col min="1" max="1" width="28.44140625" bestFit="1" customWidth="1"/>
    <col min="2" max="2" width="31.44140625" style="8" customWidth="1"/>
    <col min="3" max="3" width="26.44140625" customWidth="1"/>
    <col min="4" max="8" width="0" hidden="1" customWidth="1"/>
    <col min="9" max="16384" width="9" hidden="1"/>
  </cols>
  <sheetData>
    <row r="1" spans="1:3" ht="14.4" x14ac:dyDescent="0.3">
      <c r="A1" s="27"/>
      <c r="B1" s="28"/>
      <c r="C1" s="27"/>
    </row>
    <row r="2" spans="1:3" ht="14.4" x14ac:dyDescent="0.3">
      <c r="A2" s="27"/>
      <c r="B2" s="28"/>
      <c r="C2" s="27"/>
    </row>
    <row r="3" spans="1:3" thickBot="1" x14ac:dyDescent="0.35">
      <c r="A3" s="29"/>
      <c r="B3" s="30"/>
      <c r="C3" s="29"/>
    </row>
    <row r="4" spans="1:3" ht="14.4" x14ac:dyDescent="0.3">
      <c r="A4" s="25"/>
      <c r="B4" s="26"/>
      <c r="C4" s="25"/>
    </row>
    <row r="5" spans="1:3" ht="30.75" customHeight="1" x14ac:dyDescent="0.3">
      <c r="A5" s="43" t="s">
        <v>0</v>
      </c>
      <c r="B5" s="44" t="str">
        <f>IF(B6="","",(MAX(ProductMaster[S No.])+1))</f>
        <v/>
      </c>
      <c r="C5" s="25"/>
    </row>
    <row r="6" spans="1:3" ht="30.75" customHeight="1" x14ac:dyDescent="0.3">
      <c r="A6" s="43" t="s">
        <v>2</v>
      </c>
      <c r="B6" s="32"/>
      <c r="C6" s="25"/>
    </row>
    <row r="7" spans="1:3" ht="30.75" customHeight="1" x14ac:dyDescent="0.3">
      <c r="A7" s="43" t="s">
        <v>3</v>
      </c>
      <c r="B7" s="31"/>
      <c r="C7" s="25"/>
    </row>
    <row r="8" spans="1:3" ht="30.75" customHeight="1" x14ac:dyDescent="0.3">
      <c r="A8" s="43" t="s">
        <v>4</v>
      </c>
      <c r="B8" s="31"/>
      <c r="C8" s="25"/>
    </row>
    <row r="9" spans="1:3" ht="30.75" customHeight="1" x14ac:dyDescent="0.3">
      <c r="A9" s="43" t="s">
        <v>5</v>
      </c>
      <c r="B9" s="31"/>
      <c r="C9" s="25"/>
    </row>
    <row r="10" spans="1:3" ht="30.75" customHeight="1" x14ac:dyDescent="0.3">
      <c r="A10" s="43" t="s">
        <v>25</v>
      </c>
      <c r="B10" s="33"/>
      <c r="C10" s="25"/>
    </row>
    <row r="11" spans="1:3" ht="30.75" customHeight="1" thickBot="1" x14ac:dyDescent="0.35">
      <c r="A11" s="45" t="s">
        <v>11</v>
      </c>
      <c r="B11" s="34"/>
      <c r="C11" s="25"/>
    </row>
    <row r="12" spans="1:3" thickTop="1" x14ac:dyDescent="0.3">
      <c r="A12" s="25"/>
      <c r="B12" s="26"/>
      <c r="C12" s="25"/>
    </row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اسلام احمد ماهر محمد احمد</cp:lastModifiedBy>
  <dcterms:created xsi:type="dcterms:W3CDTF">2016-08-05T04:56:17Z</dcterms:created>
  <dcterms:modified xsi:type="dcterms:W3CDTF">2024-02-28T09:36:12Z</dcterms:modified>
  <cp:contentStatus/>
</cp:coreProperties>
</file>